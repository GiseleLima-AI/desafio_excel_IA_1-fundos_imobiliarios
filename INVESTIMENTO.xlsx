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sele Lima\OneDrive\Área de Trabalho\DOCS\1.ESTUDOS\6.BOOTCAMP SANTANDER\EXCEL e IA\"/>
    </mc:Choice>
  </mc:AlternateContent>
  <xr:revisionPtr revIDLastSave="0" documentId="13_ncr:1_{7D8AFB36-057E-4BC3-8B57-9F398100994A}" xr6:coauthVersionLast="47" xr6:coauthVersionMax="47" xr10:uidLastSave="{00000000-0000-0000-0000-000000000000}"/>
  <bookViews>
    <workbookView xWindow="-120" yWindow="-120" windowWidth="20730" windowHeight="11040" tabRatio="0" xr2:uid="{BCEF969E-6202-4F93-AC8B-02D52F7EC775}"/>
  </bookViews>
  <sheets>
    <sheet name="MGK_INVEST_APP" sheetId="1" r:id="rId1"/>
    <sheet name="apoio" sheetId="2" r:id="rId2"/>
  </sheets>
  <definedNames>
    <definedName name="aporte">MGK_INVEST_APP!$D$20</definedName>
    <definedName name="patrimonio_acumulado">MGK_INVEST_APP!$D$23</definedName>
    <definedName name="qtde_anos">MGK_INVEST_APP!$D$21</definedName>
    <definedName name="rendimento_carteira">MGK_INVEST_APP!$D$15</definedName>
    <definedName name="salario">MGK_INVEST_APP!$D$14</definedName>
    <definedName name="sugestao_investimento">MGK_INVEST_APP!$D$16</definedName>
    <definedName name="tx_rendimento_mensal">MGK_INVEST_APP!$D$22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40" i="1"/>
  <c r="C41" i="1"/>
  <c r="C42" i="1"/>
  <c r="D42" i="1" s="1"/>
  <c r="C43" i="1"/>
  <c r="D43" i="1" s="1"/>
  <c r="C44" i="1"/>
  <c r="C39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5" i="2"/>
  <c r="C29" i="1"/>
  <c r="C30" i="1"/>
  <c r="C31" i="1"/>
  <c r="C32" i="1"/>
  <c r="C28" i="1"/>
  <c r="D39" i="1" l="1"/>
  <c r="D40" i="1"/>
  <c r="D41" i="1"/>
  <c r="D44" i="1"/>
  <c r="D45" i="1" l="1"/>
  <c r="D31" i="1"/>
  <c r="D29" i="1"/>
  <c r="D30" i="1"/>
  <c r="D32" i="1"/>
  <c r="D28" i="1"/>
  <c r="D16" i="1"/>
  <c r="D23" i="1" s="1"/>
  <c r="D24" i="1" s="1"/>
</calcChain>
</file>

<file path=xl/sharedStrings.xml><?xml version="1.0" encoding="utf-8"?>
<sst xmlns="http://schemas.openxmlformats.org/spreadsheetml/2006/main" count="68" uniqueCount="31">
  <si>
    <t>INVESTIMENTO MENSAL</t>
  </si>
  <si>
    <t>CONFIGURAÇÕES</t>
  </si>
  <si>
    <t>Salário</t>
  </si>
  <si>
    <t>Rendimento Carteira</t>
  </si>
  <si>
    <t>Sugestão de Investimento (30%)</t>
  </si>
  <si>
    <t>Quanto Investir por Mês?</t>
  </si>
  <si>
    <t>Por Quantos Anos?</t>
  </si>
  <si>
    <t>Dividendos Mensais?</t>
  </si>
  <si>
    <t>Patrimônio acumulado?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</si>
  <si>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</si>
  <si>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</si>
  <si>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</si>
  <si>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</si>
  <si>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</si>
  <si>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</si>
  <si>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</si>
  <si>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Taxa de Rendimento Mensal?</t>
  </si>
  <si>
    <t>Perfil</t>
  </si>
  <si>
    <t>Conservador</t>
  </si>
  <si>
    <t>Moderado</t>
  </si>
  <si>
    <t>Agressivo</t>
  </si>
  <si>
    <t>VALOR A SER INVESTIDO POR MÊS</t>
  </si>
  <si>
    <t>PAPEL</t>
  </si>
  <si>
    <t>TIJOLO</t>
  </si>
  <si>
    <t>HÍBRIDOS</t>
  </si>
  <si>
    <t>FOFs</t>
  </si>
  <si>
    <t>DESENVOLVIMENTO</t>
  </si>
  <si>
    <t>HOTELARIAS</t>
  </si>
  <si>
    <t>Tipo de FII</t>
  </si>
  <si>
    <t>Percentual Sugerido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</si>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</sst>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Segoe UI Black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 Black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sz val="12"/>
      <color theme="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auto="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medium">
        <color auto="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auto="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auto="1"/>
      </bottom>
      <diagonal/>
    </border>
    <border>
      <left style="thin">
        <color theme="0" tint="-0.14996795556505021"/>
      </left>
      <right style="medium">
        <color auto="1"/>
      </right>
      <top style="thin">
        <color theme="0" tint="-0.14996795556505021"/>
      </top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medium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medium">
        <color auto="1"/>
      </bottom>
      <diagonal/>
    </border>
    <border>
      <left style="medium">
        <color auto="1"/>
      </left>
      <right style="hair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auto="1"/>
      </right>
      <top style="medium">
        <color auto="1"/>
      </top>
      <bottom style="hair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5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indent="3"/>
    </xf>
    <xf numFmtId="0" fontId="5" fillId="0" borderId="8" xfId="0" applyFont="1" applyBorder="1" applyAlignment="1">
      <alignment horizontal="left" vertical="center" indent="3"/>
    </xf>
    <xf numFmtId="10" fontId="5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5" xfId="0" applyNumberFormat="1" applyBorder="1" applyAlignment="1">
      <alignment horizontal="center"/>
    </xf>
    <xf numFmtId="0" fontId="6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164" fontId="8" fillId="8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9" fontId="5" fillId="9" borderId="0" xfId="2" applyFont="1" applyFill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0" fontId="9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0" fontId="5" fillId="0" borderId="15" xfId="0" applyNumberFormat="1" applyFont="1" applyBorder="1" applyAlignment="1">
      <alignment horizontal="center" vertical="center"/>
    </xf>
    <xf numFmtId="8" fontId="5" fillId="3" borderId="15" xfId="0" applyNumberFormat="1" applyFont="1" applyFill="1" applyBorder="1" applyAlignment="1">
      <alignment horizontal="center" vertical="center"/>
    </xf>
    <xf numFmtId="8" fontId="5" fillId="3" borderId="18" xfId="0" applyNumberFormat="1" applyFont="1" applyFill="1" applyBorder="1" applyAlignment="1">
      <alignment horizontal="center" vertical="center"/>
    </xf>
    <xf numFmtId="8" fontId="5" fillId="0" borderId="7" xfId="0" applyNumberFormat="1" applyFont="1" applyBorder="1" applyAlignment="1">
      <alignment horizontal="right" vertical="center" indent="2"/>
    </xf>
    <xf numFmtId="8" fontId="5" fillId="0" borderId="10" xfId="0" applyNumberFormat="1" applyFont="1" applyBorder="1" applyAlignment="1">
      <alignment horizontal="right" vertical="center" indent="2"/>
    </xf>
    <xf numFmtId="8" fontId="5" fillId="0" borderId="2" xfId="0" applyNumberFormat="1" applyFont="1" applyBorder="1" applyAlignment="1">
      <alignment horizontal="right" vertical="center" indent="2"/>
    </xf>
    <xf numFmtId="8" fontId="5" fillId="0" borderId="9" xfId="0" applyNumberFormat="1" applyFont="1" applyBorder="1" applyAlignment="1">
      <alignment horizontal="right" vertical="center" indent="2"/>
    </xf>
    <xf numFmtId="0" fontId="6" fillId="3" borderId="14" xfId="0" applyFont="1" applyFill="1" applyBorder="1" applyAlignment="1">
      <alignment horizontal="left" vertical="center" indent="3"/>
    </xf>
    <xf numFmtId="0" fontId="6" fillId="3" borderId="1" xfId="0" applyFont="1" applyFill="1" applyBorder="1" applyAlignment="1">
      <alignment horizontal="left" vertical="center" indent="3"/>
    </xf>
    <xf numFmtId="0" fontId="6" fillId="3" borderId="16" xfId="0" applyFont="1" applyFill="1" applyBorder="1" applyAlignment="1">
      <alignment horizontal="left" vertical="center" indent="3"/>
    </xf>
    <xf numFmtId="0" fontId="6" fillId="3" borderId="17" xfId="0" applyFont="1" applyFill="1" applyBorder="1" applyAlignment="1">
      <alignment horizontal="left" vertical="center" indent="3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 vertical="center" indent="3"/>
    </xf>
    <xf numFmtId="0" fontId="5" fillId="7" borderId="1" xfId="0" applyFont="1" applyFill="1" applyBorder="1" applyAlignment="1">
      <alignment horizontal="left" vertical="center" indent="3"/>
    </xf>
    <xf numFmtId="0" fontId="5" fillId="7" borderId="16" xfId="0" applyFont="1" applyFill="1" applyBorder="1" applyAlignment="1">
      <alignment horizontal="left" vertical="center" indent="3"/>
    </xf>
    <xf numFmtId="0" fontId="5" fillId="7" borderId="17" xfId="0" applyFont="1" applyFill="1" applyBorder="1" applyAlignment="1">
      <alignment horizontal="left" vertical="center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MGK_INVEST_APP!$C$38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D5-4F32-BEBA-9CDC7392A4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CD5-4F32-BEBA-9CDC7392A4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D5-4F32-BEBA-9CDC7392A4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CD5-4F32-BEBA-9CDC7392A4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D5-4F32-BEBA-9CDC7392A4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CD5-4F32-BEBA-9CDC7392A4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MGK_INVEST_APP!$B$39:$B$44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MGK_INVEST_APP!$C$39:$C$44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5-4F32-BEBA-9CDC7392A4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50800" dist="50800" dir="5400000" algn="ctr" rotWithShape="0">
        <a:srgbClr val="000000">
          <a:alpha val="51000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351864</xdr:colOff>
      <xdr:row>1</xdr:row>
      <xdr:rowOff>145677</xdr:rowOff>
    </xdr:from>
    <xdr:to>
      <xdr:col>4</xdr:col>
      <xdr:colOff>257734</xdr:colOff>
      <xdr:row>10</xdr:row>
      <xdr:rowOff>66936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905F26-0324-A5CD-1A26-6753787D0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864" y="336177"/>
          <a:ext cx="6136341" cy="1635759"/>
        </a:xfrm>
        <a:prstGeom prst="roundRect">
          <a:avLst/>
        </a:prstGeom>
      </xdr:spPr>
    </xdr:pic>
    <xdr:clientData/>
  </xdr:twoCellAnchor>
  <xdr:twoCellAnchor>
    <xdr:from>
      <xdr:col>1</xdr:col>
      <xdr:colOff>381001</xdr:colOff>
      <xdr:row>46</xdr:row>
      <xdr:rowOff>112059</xdr:rowOff>
    </xdr:from>
    <xdr:to>
      <xdr:col>3</xdr:col>
      <xdr:colOff>829236</xdr:colOff>
      <xdr:row>58</xdr:row>
      <xdr:rowOff>21291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36CB85-4876-1284-063E-FA7B9DEFD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41EA-DA00-4890-B56A-EFC1AD3AB293}">
  <dimension ref="A1:G72"/>
  <sheetViews>
    <sheetView showGridLines="0" tabSelected="1" zoomScale="85" zoomScaleNormal="85" workbookViewId="0">
      <selection activeCell="E15" sqref="E15"/>
    </sheetView>
  </sheetViews>
  <sheetFormatPr defaultColWidth="0" defaultRowHeight="15" zeroHeight="1" x14ac:dyDescent="0.25"/>
  <cols>
    <col min="1" max="1" width="8.7109375" style="1" customWidth="1"/>
    <col min="2" max="2" width="44.85546875" style="1" customWidth="1"/>
    <col min="3" max="3" width="22.42578125" style="1" customWidth="1"/>
    <col min="4" max="4" width="17.42578125" style="1" customWidth="1"/>
    <col min="5" max="5" width="8.85546875" style="1" customWidth="1"/>
    <col min="6" max="6" width="9.140625" style="1" hidden="1" customWidth="1"/>
    <col min="7" max="7" width="29.28515625" style="1" hidden="1" customWidth="1"/>
    <col min="8" max="16384" width="9.140625" style="1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x14ac:dyDescent="0.25"/>
    <row r="12" spans="2:4" ht="15.75" thickBot="1" x14ac:dyDescent="0.3"/>
    <row r="13" spans="2:4" ht="20.25" x14ac:dyDescent="0.25">
      <c r="B13" s="44" t="s">
        <v>1</v>
      </c>
      <c r="C13" s="45"/>
      <c r="D13" s="46"/>
    </row>
    <row r="14" spans="2:4" ht="16.5" x14ac:dyDescent="0.25">
      <c r="B14" s="47" t="s">
        <v>2</v>
      </c>
      <c r="C14" s="48"/>
      <c r="D14" s="23">
        <v>5000</v>
      </c>
    </row>
    <row r="15" spans="2:4" ht="16.5" x14ac:dyDescent="0.25">
      <c r="B15" s="47" t="s">
        <v>3</v>
      </c>
      <c r="C15" s="48"/>
      <c r="D15" s="7">
        <v>6.0000000000000001E-3</v>
      </c>
    </row>
    <row r="16" spans="2:4" ht="17.25" thickBot="1" x14ac:dyDescent="0.3">
      <c r="B16" s="49" t="s">
        <v>4</v>
      </c>
      <c r="C16" s="50"/>
      <c r="D16" s="24">
        <f>D14*30%</f>
        <v>1500</v>
      </c>
    </row>
    <row r="17" spans="1:4" x14ac:dyDescent="0.25"/>
    <row r="18" spans="1:4" ht="15.75" thickBot="1" x14ac:dyDescent="0.3"/>
    <row r="19" spans="1:4" ht="20.25" x14ac:dyDescent="0.25">
      <c r="B19" s="39" t="s">
        <v>0</v>
      </c>
      <c r="C19" s="40"/>
      <c r="D19" s="41"/>
    </row>
    <row r="20" spans="1:4" ht="16.5" x14ac:dyDescent="0.25">
      <c r="B20" s="47" t="s">
        <v>5</v>
      </c>
      <c r="C20" s="48"/>
      <c r="D20" s="26">
        <v>1500</v>
      </c>
    </row>
    <row r="21" spans="1:4" ht="16.5" x14ac:dyDescent="0.25">
      <c r="B21" s="47" t="s">
        <v>6</v>
      </c>
      <c r="C21" s="48"/>
      <c r="D21" s="27">
        <v>10</v>
      </c>
    </row>
    <row r="22" spans="1:4" ht="16.5" x14ac:dyDescent="0.25">
      <c r="B22" s="47" t="s">
        <v>16</v>
      </c>
      <c r="C22" s="48"/>
      <c r="D22" s="28">
        <v>1.0789999999999999E-2</v>
      </c>
    </row>
    <row r="23" spans="1:4" ht="16.5" x14ac:dyDescent="0.25">
      <c r="B23" s="35" t="s">
        <v>8</v>
      </c>
      <c r="C23" s="36"/>
      <c r="D23" s="29">
        <f>FV(D22,D21*12,D20*-1)</f>
        <v>364926.3187952583</v>
      </c>
    </row>
    <row r="24" spans="1:4" ht="17.25" thickBot="1" x14ac:dyDescent="0.3">
      <c r="B24" s="37" t="s">
        <v>7</v>
      </c>
      <c r="C24" s="38"/>
      <c r="D24" s="30">
        <f>patrimonio_acumulado*tx_rendimento_mensal</f>
        <v>3937.5549798008369</v>
      </c>
    </row>
    <row r="25" spans="1:4" x14ac:dyDescent="0.25"/>
    <row r="26" spans="1:4" ht="15.75" thickBot="1" x14ac:dyDescent="0.3"/>
    <row r="27" spans="1:4" ht="20.25" x14ac:dyDescent="0.25">
      <c r="B27" s="42" t="s">
        <v>9</v>
      </c>
      <c r="C27" s="43"/>
      <c r="D27" s="4" t="s">
        <v>10</v>
      </c>
    </row>
    <row r="28" spans="1:4" ht="16.5" x14ac:dyDescent="0.25">
      <c r="A28" s="2">
        <v>2</v>
      </c>
      <c r="B28" s="5" t="s">
        <v>11</v>
      </c>
      <c r="C28" s="33">
        <f>FV(tx_rendimento_mensal,$A28*12,aporte*-1)</f>
        <v>40841.440946467825</v>
      </c>
      <c r="D28" s="31">
        <f>$C28*tx_rendimento_mensal</f>
        <v>440.67914781238778</v>
      </c>
    </row>
    <row r="29" spans="1:4" ht="16.5" x14ac:dyDescent="0.25">
      <c r="A29" s="2">
        <v>5</v>
      </c>
      <c r="B29" s="5" t="s">
        <v>12</v>
      </c>
      <c r="C29" s="33">
        <f>FV(tx_rendimento_mensal,$A29*12,aporte*-1)</f>
        <v>125665.37099773147</v>
      </c>
      <c r="D29" s="31">
        <f>$C29*tx_rendimento_mensal</f>
        <v>1355.9293530655225</v>
      </c>
    </row>
    <row r="30" spans="1:4" ht="16.5" x14ac:dyDescent="0.25">
      <c r="A30" s="2">
        <v>10</v>
      </c>
      <c r="B30" s="5" t="s">
        <v>13</v>
      </c>
      <c r="C30" s="33">
        <f>FV(tx_rendimento_mensal,$A30*12,aporte*-1)</f>
        <v>364926.3187952583</v>
      </c>
      <c r="D30" s="31">
        <f>$C30*tx_rendimento_mensal</f>
        <v>3937.5549798008369</v>
      </c>
    </row>
    <row r="31" spans="1:4" ht="16.5" x14ac:dyDescent="0.25">
      <c r="A31" s="2">
        <v>20</v>
      </c>
      <c r="B31" s="5" t="s">
        <v>14</v>
      </c>
      <c r="C31" s="33">
        <f>FV(tx_rendimento_mensal,$A31*12,aporte*-1)</f>
        <v>1687797.600145621</v>
      </c>
      <c r="D31" s="31">
        <f>$C31*tx_rendimento_mensal</f>
        <v>18211.336105571248</v>
      </c>
    </row>
    <row r="32" spans="1:4" ht="17.25" thickBot="1" x14ac:dyDescent="0.3">
      <c r="A32" s="2">
        <v>30</v>
      </c>
      <c r="B32" s="6" t="s">
        <v>15</v>
      </c>
      <c r="C32" s="34">
        <f>FV(tx_rendimento_mensal,$A32*12,aporte*-1)</f>
        <v>6483254.4825070715</v>
      </c>
      <c r="D32" s="32">
        <f>$C32*tx_rendimento_mensal</f>
        <v>69954.315866251301</v>
      </c>
    </row>
    <row r="33" spans="2:4" ht="16.5" x14ac:dyDescent="0.25">
      <c r="B33" s="3"/>
      <c r="C33" s="3"/>
      <c r="D33" s="3"/>
    </row>
    <row r="34" spans="2:4" ht="16.5" x14ac:dyDescent="0.25">
      <c r="B34" s="3"/>
      <c r="C34" s="3"/>
      <c r="D34" s="3"/>
    </row>
    <row r="35" spans="2:4" ht="17.25" x14ac:dyDescent="0.25">
      <c r="B35" s="22" t="s">
        <v>17</v>
      </c>
      <c r="C35" s="22" t="s">
        <v>18</v>
      </c>
      <c r="D35" s="21"/>
    </row>
    <row r="36" spans="2:4" ht="16.5" x14ac:dyDescent="0.25">
      <c r="B36" s="14" t="s">
        <v>21</v>
      </c>
      <c r="C36" s="25">
        <f>aporte</f>
        <v>1500</v>
      </c>
      <c r="D36" s="3"/>
    </row>
    <row r="37" spans="2:4" ht="16.5" x14ac:dyDescent="0.25">
      <c r="B37" s="3"/>
      <c r="C37" s="3"/>
      <c r="D37" s="3"/>
    </row>
    <row r="38" spans="2:4" ht="16.5" x14ac:dyDescent="0.25">
      <c r="B38" s="15" t="s">
        <v>28</v>
      </c>
      <c r="C38" s="15" t="s">
        <v>29</v>
      </c>
      <c r="D38" s="15" t="s">
        <v>30</v>
      </c>
    </row>
    <row r="39" spans="2:4" ht="16.5" x14ac:dyDescent="0.3">
      <c r="B39" s="18" t="s">
        <v>22</v>
      </c>
      <c r="C39" s="19">
        <f>VLOOKUP($C$35&amp;"-"&amp;B39,apoio!B5:E22,4,FALSE)</f>
        <v>0.3</v>
      </c>
      <c r="D39" s="20">
        <f>$C$36*C39</f>
        <v>450</v>
      </c>
    </row>
    <row r="40" spans="2:4" ht="16.5" x14ac:dyDescent="0.3">
      <c r="B40" s="18" t="s">
        <v>23</v>
      </c>
      <c r="C40" s="19">
        <f>VLOOKUP($C$35&amp;"-"&amp;B40,apoio!B6:E23,4,FALSE)</f>
        <v>0.5</v>
      </c>
      <c r="D40" s="20">
        <f t="shared" ref="D40:D44" si="0">$C$36*C40</f>
        <v>750</v>
      </c>
    </row>
    <row r="41" spans="2:4" ht="16.5" x14ac:dyDescent="0.3">
      <c r="B41" s="18" t="s">
        <v>24</v>
      </c>
      <c r="C41" s="19">
        <f>VLOOKUP($C$35&amp;"-"&amp;B41,apoio!B7:E24,4,FALSE)</f>
        <v>0.1</v>
      </c>
      <c r="D41" s="20">
        <f t="shared" si="0"/>
        <v>150</v>
      </c>
    </row>
    <row r="42" spans="2:4" ht="16.5" x14ac:dyDescent="0.3">
      <c r="B42" s="18" t="s">
        <v>25</v>
      </c>
      <c r="C42" s="19">
        <f>VLOOKUP($C$35&amp;"-"&amp;B42,apoio!B8:E25,4,FALSE)</f>
        <v>0.1</v>
      </c>
      <c r="D42" s="20">
        <f t="shared" si="0"/>
        <v>150</v>
      </c>
    </row>
    <row r="43" spans="2:4" ht="16.5" x14ac:dyDescent="0.3">
      <c r="B43" s="18" t="s">
        <v>26</v>
      </c>
      <c r="C43" s="19">
        <f>VLOOKUP($C$35&amp;"-"&amp;B43,apoio!B9:E26,4,FALSE)</f>
        <v>0</v>
      </c>
      <c r="D43" s="20">
        <f t="shared" si="0"/>
        <v>0</v>
      </c>
    </row>
    <row r="44" spans="2:4" ht="16.5" x14ac:dyDescent="0.3">
      <c r="B44" s="18" t="s">
        <v>27</v>
      </c>
      <c r="C44" s="19">
        <f>VLOOKUP($C$35&amp;"-"&amp;B44,apoio!B10:E27,4,FALSE)</f>
        <v>0</v>
      </c>
      <c r="D44" s="20">
        <f t="shared" si="0"/>
        <v>0</v>
      </c>
    </row>
    <row r="45" spans="2:4" ht="16.5" x14ac:dyDescent="0.25">
      <c r="B45" s="16"/>
      <c r="C45" s="16"/>
      <c r="D45" s="17">
        <f>SUM(D39:D44)</f>
        <v>1500</v>
      </c>
    </row>
    <row r="46" spans="2:4" ht="16.5" x14ac:dyDescent="0.25">
      <c r="B46" s="3"/>
      <c r="C46" s="3"/>
      <c r="D46" s="3"/>
    </row>
    <row r="47" spans="2:4" ht="16.5" x14ac:dyDescent="0.25">
      <c r="B47" s="3"/>
      <c r="C47" s="3"/>
      <c r="D47" s="3"/>
    </row>
    <row r="48" spans="2:4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hidden="1" x14ac:dyDescent="0.25"/>
    <row r="64" s="1" customFormat="1" hidden="1" x14ac:dyDescent="0.25"/>
    <row r="65" s="1" customFormat="1" hidden="1" x14ac:dyDescent="0.25"/>
    <row r="66" s="1" customFormat="1" hidden="1" x14ac:dyDescent="0.25"/>
    <row r="67" s="1" customFormat="1" hidden="1" x14ac:dyDescent="0.25"/>
    <row r="68" s="1" customFormat="1" hidden="1" x14ac:dyDescent="0.25"/>
    <row r="69" s="1" customFormat="1" hidden="1" x14ac:dyDescent="0.25"/>
    <row r="70" s="1" customFormat="1" hidden="1" x14ac:dyDescent="0.25"/>
    <row r="71" s="1" customFormat="1" hidden="1" x14ac:dyDescent="0.25"/>
    <row r="72" s="1" customFormat="1" hidden="1" x14ac:dyDescent="0.25"/>
  </sheetData>
  <mergeCells count="11">
    <mergeCell ref="B23:C23"/>
    <mergeCell ref="B24:C24"/>
    <mergeCell ref="B19:D19"/>
    <mergeCell ref="B27:C27"/>
    <mergeCell ref="B13:D13"/>
    <mergeCell ref="B20:C20"/>
    <mergeCell ref="B21:C21"/>
    <mergeCell ref="B14:C14"/>
    <mergeCell ref="B15:C15"/>
    <mergeCell ref="B16:C16"/>
    <mergeCell ref="B22:C22"/>
  </mergeCells>
  <dataValidations count="1">
    <dataValidation type="list" allowBlank="1" showInputMessage="1" showErrorMessage="1" sqref="C35" xr:uid="{9EA2E2BC-ECCB-411E-86BB-949CFE5915B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65CD-BC08-4809-B22D-4189C2F63839}">
  <dimension ref="B4:E23"/>
  <sheetViews>
    <sheetView topLeftCell="A4" workbookViewId="0">
      <selection activeCell="E5" sqref="E5:E22"/>
    </sheetView>
  </sheetViews>
  <sheetFormatPr defaultRowHeight="15" x14ac:dyDescent="0.25"/>
  <cols>
    <col min="2" max="2" width="30" bestFit="1" customWidth="1"/>
    <col min="3" max="3" width="15.5703125" customWidth="1"/>
    <col min="4" max="4" width="18.5703125" bestFit="1" customWidth="1"/>
    <col min="5" max="5" width="18.85546875" bestFit="1" customWidth="1"/>
  </cols>
  <sheetData>
    <row r="4" spans="2:5" x14ac:dyDescent="0.25">
      <c r="C4" s="9" t="s">
        <v>17</v>
      </c>
      <c r="D4" s="9" t="s">
        <v>28</v>
      </c>
      <c r="E4" s="9" t="s">
        <v>29</v>
      </c>
    </row>
    <row r="5" spans="2:5" x14ac:dyDescent="0.25">
      <c r="B5" t="str">
        <f>C5&amp;"-"&amp;D5</f>
        <v>Conservador-PAPEL</v>
      </c>
      <c r="C5" t="s">
        <v>18</v>
      </c>
      <c r="D5" s="8" t="s">
        <v>22</v>
      </c>
      <c r="E5" s="12">
        <v>0.3</v>
      </c>
    </row>
    <row r="6" spans="2:5" x14ac:dyDescent="0.25">
      <c r="B6" t="str">
        <f t="shared" ref="B6:B22" si="0">C6&amp;"-"&amp;D6</f>
        <v>Conservador-TIJOLO</v>
      </c>
      <c r="C6" t="s">
        <v>18</v>
      </c>
      <c r="D6" s="8" t="s">
        <v>23</v>
      </c>
      <c r="E6" s="12">
        <v>0.5</v>
      </c>
    </row>
    <row r="7" spans="2:5" x14ac:dyDescent="0.25">
      <c r="B7" t="str">
        <f t="shared" si="0"/>
        <v>Conservador-HÍBRIDOS</v>
      </c>
      <c r="C7" t="s">
        <v>18</v>
      </c>
      <c r="D7" s="8" t="s">
        <v>24</v>
      </c>
      <c r="E7" s="12">
        <v>0.1</v>
      </c>
    </row>
    <row r="8" spans="2:5" x14ac:dyDescent="0.25">
      <c r="B8" t="str">
        <f t="shared" si="0"/>
        <v>Conservador-FOFs</v>
      </c>
      <c r="C8" t="s">
        <v>18</v>
      </c>
      <c r="D8" s="8" t="s">
        <v>25</v>
      </c>
      <c r="E8" s="12">
        <v>0.1</v>
      </c>
    </row>
    <row r="9" spans="2:5" x14ac:dyDescent="0.25">
      <c r="B9" t="str">
        <f t="shared" si="0"/>
        <v>Conservador-DESENVOLVIMENTO</v>
      </c>
      <c r="C9" t="s">
        <v>18</v>
      </c>
      <c r="D9" s="8" t="s">
        <v>26</v>
      </c>
      <c r="E9" s="12">
        <v>0</v>
      </c>
    </row>
    <row r="10" spans="2:5" ht="15.75" thickBot="1" x14ac:dyDescent="0.3">
      <c r="B10" s="10" t="str">
        <f t="shared" si="0"/>
        <v>Conservador-HOTELARIAS</v>
      </c>
      <c r="C10" s="10" t="s">
        <v>18</v>
      </c>
      <c r="D10" s="11" t="s">
        <v>27</v>
      </c>
      <c r="E10" s="13">
        <v>0</v>
      </c>
    </row>
    <row r="11" spans="2:5" ht="15.75" thickTop="1" x14ac:dyDescent="0.25">
      <c r="B11" t="str">
        <f t="shared" si="0"/>
        <v>Moderado-PAPEL</v>
      </c>
      <c r="C11" t="s">
        <v>19</v>
      </c>
      <c r="D11" s="8" t="s">
        <v>22</v>
      </c>
      <c r="E11" s="12">
        <v>0.32</v>
      </c>
    </row>
    <row r="12" spans="2:5" x14ac:dyDescent="0.25">
      <c r="B12" t="str">
        <f t="shared" si="0"/>
        <v>Moderado-TIJOLO</v>
      </c>
      <c r="C12" t="s">
        <v>19</v>
      </c>
      <c r="D12" s="8" t="s">
        <v>23</v>
      </c>
      <c r="E12" s="12">
        <v>0.35</v>
      </c>
    </row>
    <row r="13" spans="2:5" x14ac:dyDescent="0.25">
      <c r="B13" t="str">
        <f t="shared" si="0"/>
        <v>Moderado-HÍBRIDOS</v>
      </c>
      <c r="C13" t="s">
        <v>19</v>
      </c>
      <c r="D13" s="8" t="s">
        <v>24</v>
      </c>
      <c r="E13" s="12">
        <v>0.08</v>
      </c>
    </row>
    <row r="14" spans="2:5" x14ac:dyDescent="0.25">
      <c r="B14" t="str">
        <f t="shared" si="0"/>
        <v>Moderado-FOFs</v>
      </c>
      <c r="C14" t="s">
        <v>19</v>
      </c>
      <c r="D14" s="8" t="s">
        <v>25</v>
      </c>
      <c r="E14" s="12">
        <v>0.05</v>
      </c>
    </row>
    <row r="15" spans="2:5" x14ac:dyDescent="0.25">
      <c r="B15" t="str">
        <f t="shared" si="0"/>
        <v>Moderado-DESENVOLVIMENTO</v>
      </c>
      <c r="C15" t="s">
        <v>19</v>
      </c>
      <c r="D15" s="8" t="s">
        <v>26</v>
      </c>
      <c r="E15" s="12">
        <v>0.1</v>
      </c>
    </row>
    <row r="16" spans="2:5" ht="15.75" thickBot="1" x14ac:dyDescent="0.3">
      <c r="B16" s="10" t="str">
        <f t="shared" si="0"/>
        <v>Moderado-HOTELARIAS</v>
      </c>
      <c r="C16" s="10" t="s">
        <v>19</v>
      </c>
      <c r="D16" s="11" t="s">
        <v>27</v>
      </c>
      <c r="E16" s="13">
        <v>0.1</v>
      </c>
    </row>
    <row r="17" spans="2:5" ht="15.75" thickTop="1" x14ac:dyDescent="0.25">
      <c r="B17" t="str">
        <f t="shared" si="0"/>
        <v>Agressivo-PAPEL</v>
      </c>
      <c r="C17" t="s">
        <v>20</v>
      </c>
      <c r="D17" s="8" t="s">
        <v>22</v>
      </c>
      <c r="E17" s="12">
        <v>0.5</v>
      </c>
    </row>
    <row r="18" spans="2:5" x14ac:dyDescent="0.25">
      <c r="B18" t="str">
        <f t="shared" si="0"/>
        <v>Agressivo-TIJOLO</v>
      </c>
      <c r="C18" t="s">
        <v>20</v>
      </c>
      <c r="D18" s="8" t="s">
        <v>23</v>
      </c>
      <c r="E18" s="12">
        <v>0.1</v>
      </c>
    </row>
    <row r="19" spans="2:5" x14ac:dyDescent="0.25">
      <c r="B19" t="str">
        <f t="shared" si="0"/>
        <v>Agressivo-HÍBRIDOS</v>
      </c>
      <c r="C19" t="s">
        <v>20</v>
      </c>
      <c r="D19" s="8" t="s">
        <v>24</v>
      </c>
      <c r="E19" s="12">
        <v>0.05</v>
      </c>
    </row>
    <row r="20" spans="2:5" x14ac:dyDescent="0.25">
      <c r="B20" t="str">
        <f t="shared" si="0"/>
        <v>Agressivo-FOFs</v>
      </c>
      <c r="C20" t="s">
        <v>20</v>
      </c>
      <c r="D20" s="8" t="s">
        <v>25</v>
      </c>
      <c r="E20" s="12">
        <v>0.05</v>
      </c>
    </row>
    <row r="21" spans="2:5" x14ac:dyDescent="0.25">
      <c r="B21" t="str">
        <f t="shared" si="0"/>
        <v>Agressivo-DESENVOLVIMENTO</v>
      </c>
      <c r="C21" t="s">
        <v>20</v>
      </c>
      <c r="D21" s="8" t="s">
        <v>26</v>
      </c>
      <c r="E21" s="12">
        <v>0.2</v>
      </c>
    </row>
    <row r="22" spans="2:5" ht="15.75" thickBot="1" x14ac:dyDescent="0.3">
      <c r="B22" s="10" t="str">
        <f t="shared" si="0"/>
        <v>Agressivo-HOTELARIAS</v>
      </c>
      <c r="C22" s="10" t="s">
        <v>20</v>
      </c>
      <c r="D22" s="11" t="s">
        <v>27</v>
      </c>
      <c r="E22" s="13">
        <v>0.1</v>
      </c>
    </row>
    <row r="23" spans="2:5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MGK_INVEST_APP</vt:lpstr>
      <vt:lpstr>apoio</vt:lpstr>
      <vt:lpstr>aporte</vt:lpstr>
      <vt:lpstr>patrimonio_acumulado</vt:lpstr>
      <vt:lpstr>qtde_anos</vt:lpstr>
      <vt:lpstr>rendimento_carteira</vt:lpstr>
      <vt:lpstr>salario</vt:lpstr>
      <vt:lpstr>sugestao_investimento</vt:lpstr>
      <vt:lpstr>tx_rendimento_mensal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Gisele</dc:creator>
  <cp:lastModifiedBy>Gisele</cp:lastModifiedBy>
  <dcterms:created xsi:type="dcterms:W3CDTF">2026-01-08T23:57:16Z</dcterms:created>
  <dcterms:modified xsi:type="dcterms:W3CDTF">2026-01-12T23:29:44Z</dcterms:modified>
</cp:coreProperties>
</file>